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65" tabRatio="500" activeTab="1"/>
  </bookViews>
  <sheets>
    <sheet name="Inventory Tracker" sheetId="1" r:id="rId1"/>
    <sheet name="Stock Movement Log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8" i="1" l="1"/>
  <c r="J18" i="1"/>
  <c r="H18" i="1"/>
  <c r="H17" i="1"/>
  <c r="J17" i="1" s="1"/>
  <c r="H16" i="1"/>
  <c r="K16" i="1" s="1"/>
  <c r="K15" i="1"/>
  <c r="H15" i="1"/>
  <c r="J15" i="1" s="1"/>
  <c r="K14" i="1"/>
  <c r="J14" i="1"/>
  <c r="H14" i="1"/>
  <c r="H13" i="1"/>
  <c r="K13" i="1" s="1"/>
  <c r="H12" i="1"/>
  <c r="K12" i="1" s="1"/>
  <c r="K11" i="1"/>
  <c r="H11" i="1"/>
  <c r="J11" i="1" s="1"/>
  <c r="K10" i="1"/>
  <c r="J10" i="1"/>
  <c r="H10" i="1"/>
  <c r="H9" i="1"/>
  <c r="K9" i="1" s="1"/>
  <c r="H8" i="1"/>
  <c r="K8" i="1" s="1"/>
  <c r="K7" i="1"/>
  <c r="H7" i="1"/>
  <c r="J7" i="1" s="1"/>
  <c r="K6" i="1"/>
  <c r="J6" i="1"/>
  <c r="H6" i="1"/>
  <c r="H5" i="1"/>
  <c r="K5" i="1" s="1"/>
  <c r="H4" i="1"/>
  <c r="K4" i="1" s="1"/>
  <c r="K19" i="1" l="1"/>
  <c r="J5" i="1"/>
  <c r="J9" i="1"/>
  <c r="J13" i="1"/>
  <c r="K17" i="1"/>
  <c r="H19" i="1"/>
  <c r="J4" i="1"/>
  <c r="J8" i="1"/>
  <c r="J12" i="1"/>
  <c r="J16" i="1"/>
  <c r="J19" i="1" l="1"/>
</calcChain>
</file>

<file path=xl/sharedStrings.xml><?xml version="1.0" encoding="utf-8"?>
<sst xmlns="http://schemas.openxmlformats.org/spreadsheetml/2006/main" count="173" uniqueCount="115">
  <si>
    <t>Last Updated: May 2025  |  Low Stock Alert: ≤ 20 units  |  Critical Stock Alert: ≤ 10 units</t>
  </si>
  <si>
    <t>Item ID</t>
  </si>
  <si>
    <t>Product Name</t>
  </si>
  <si>
    <t>Category</t>
  </si>
  <si>
    <t>Unit</t>
  </si>
  <si>
    <t>Opening Stock</t>
  </si>
  <si>
    <t>Units Received</t>
  </si>
  <si>
    <t>Units Sold</t>
  </si>
  <si>
    <t>Current Stock</t>
  </si>
  <si>
    <t>Unit Price (₹)</t>
  </si>
  <si>
    <t>Stock Value (₹)</t>
  </si>
  <si>
    <t>Status</t>
  </si>
  <si>
    <t>INV001</t>
  </si>
  <si>
    <t>A4 Copy Paper (Ream)</t>
  </si>
  <si>
    <t>Stationery</t>
  </si>
  <si>
    <t>Ream</t>
  </si>
  <si>
    <t>INV002</t>
  </si>
  <si>
    <t>Blue Ballpoint Pen</t>
  </si>
  <si>
    <t>Box</t>
  </si>
  <si>
    <t>INV003</t>
  </si>
  <si>
    <t>Scientific Calculator</t>
  </si>
  <si>
    <t>Electronics</t>
  </si>
  <si>
    <t>Pcs</t>
  </si>
  <si>
    <t>INV004</t>
  </si>
  <si>
    <t>Geometry Box</t>
  </si>
  <si>
    <t>INV005</t>
  </si>
  <si>
    <t>Whiteboard Marker Set</t>
  </si>
  <si>
    <t>Set</t>
  </si>
  <si>
    <t>INV006</t>
  </si>
  <si>
    <t>Printer Ink Cartridge</t>
  </si>
  <si>
    <t>INV007</t>
  </si>
  <si>
    <t>Stapler</t>
  </si>
  <si>
    <t>Office</t>
  </si>
  <si>
    <t>INV008</t>
  </si>
  <si>
    <t>Sticky Notes (Pack)</t>
  </si>
  <si>
    <t>Pack</t>
  </si>
  <si>
    <t>INV009</t>
  </si>
  <si>
    <t>USB Flash Drive 32GB</t>
  </si>
  <si>
    <t>INV010</t>
  </si>
  <si>
    <t>Register / Notebook</t>
  </si>
  <si>
    <t>INV011</t>
  </si>
  <si>
    <t>Scissors</t>
  </si>
  <si>
    <t>INV012</t>
  </si>
  <si>
    <t>Laptop Bag</t>
  </si>
  <si>
    <t>INV013</t>
  </si>
  <si>
    <t>Correction Fluid</t>
  </si>
  <si>
    <t>INV014</t>
  </si>
  <si>
    <t>File Folder (Box)</t>
  </si>
  <si>
    <t>INV015</t>
  </si>
  <si>
    <t>Permanent Marker Set</t>
  </si>
  <si>
    <t>TOTAL INVENTORY VALUE</t>
  </si>
  <si>
    <t>Green = Stock Received  |  Orange = Stock Issued  |  All entries auto-date-logged</t>
  </si>
  <si>
    <t>Log ID</t>
  </si>
  <si>
    <t>Date</t>
  </si>
  <si>
    <t>Transaction Type</t>
  </si>
  <si>
    <t>Quantity</t>
  </si>
  <si>
    <t>Remarks</t>
  </si>
  <si>
    <t>LOG001</t>
  </si>
  <si>
    <t>01-May-25</t>
  </si>
  <si>
    <t>A4 Copy Paper</t>
  </si>
  <si>
    <t>RECEIVED</t>
  </si>
  <si>
    <t>Monthly Restock</t>
  </si>
  <si>
    <t>LOG002</t>
  </si>
  <si>
    <t>02-May-25</t>
  </si>
  <si>
    <t>Supplier Delivery</t>
  </si>
  <si>
    <t>LOG003</t>
  </si>
  <si>
    <t>03-May-25</t>
  </si>
  <si>
    <t>ISSUED</t>
  </si>
  <si>
    <t>Class Dept.</t>
  </si>
  <si>
    <t>LOG004</t>
  </si>
  <si>
    <t>05-May-25</t>
  </si>
  <si>
    <t>USB Flash Drive</t>
  </si>
  <si>
    <t>IT Department</t>
  </si>
  <si>
    <t>LOG005</t>
  </si>
  <si>
    <t>07-May-25</t>
  </si>
  <si>
    <t>Scientific Calc</t>
  </si>
  <si>
    <t>Exam Preparation</t>
  </si>
  <si>
    <t>LOG006</t>
  </si>
  <si>
    <t>08-May-25</t>
  </si>
  <si>
    <t>Register/Notebook</t>
  </si>
  <si>
    <t>New Academic Year</t>
  </si>
  <si>
    <t>LOG007</t>
  </si>
  <si>
    <t>10-May-25</t>
  </si>
  <si>
    <t>Printer Ink</t>
  </si>
  <si>
    <t>Admin Office</t>
  </si>
  <si>
    <t>LOG008</t>
  </si>
  <si>
    <t>12-May-25</t>
  </si>
  <si>
    <t>Whiteboard Markers</t>
  </si>
  <si>
    <t>Staff Room</t>
  </si>
  <si>
    <t>LOG009</t>
  </si>
  <si>
    <t>14-May-25</t>
  </si>
  <si>
    <t>Student Store</t>
  </si>
  <si>
    <t>LOG010</t>
  </si>
  <si>
    <t>15-May-25</t>
  </si>
  <si>
    <t>Principal Office</t>
  </si>
  <si>
    <t>LOG011</t>
  </si>
  <si>
    <t>18-May-25</t>
  </si>
  <si>
    <t>Sticky Notes</t>
  </si>
  <si>
    <t>Office Supplies</t>
  </si>
  <si>
    <t>LOG012</t>
  </si>
  <si>
    <t>20-May-25</t>
  </si>
  <si>
    <t>Craft Room</t>
  </si>
  <si>
    <t>LOG013</t>
  </si>
  <si>
    <t>22-May-25</t>
  </si>
  <si>
    <t>Library</t>
  </si>
  <si>
    <t>LOG014</t>
  </si>
  <si>
    <t>24-May-25</t>
  </si>
  <si>
    <t>File Folder</t>
  </si>
  <si>
    <t>Records Dept.</t>
  </si>
  <si>
    <t>LOG015</t>
  </si>
  <si>
    <t>26-May-25</t>
  </si>
  <si>
    <t>Permanent Markers</t>
  </si>
  <si>
    <t>Lab</t>
  </si>
  <si>
    <t>Inventory Tracking &amp; Stock Management System</t>
  </si>
  <si>
    <t xml:space="preserve"> Stock Movement Log —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</si>
</sst>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BF360C"/>
        <bgColor rgb="FF993366"/>
      </patternFill>
    </fill>
    <fill>
      <patternFill patternType="solid">
        <fgColor rgb="FFFBE9E7"/>
        <bgColor rgb="FFFFF3E0"/>
      </patternFill>
    </fill>
    <fill>
      <patternFill patternType="solid">
        <fgColor rgb="FFEBF5FB"/>
        <bgColor rgb="FFE8F5E9"/>
      </patternFill>
    </fill>
    <fill>
      <patternFill patternType="solid">
        <fgColor rgb="FFFDFEFE"/>
        <bgColor rgb="FFFFFFFF"/>
      </patternFill>
    </fill>
    <fill>
      <patternFill patternType="solid">
        <fgColor rgb="FF1A237E"/>
        <bgColor rgb="FF333399"/>
      </patternFill>
    </fill>
    <fill>
      <patternFill patternType="solid">
        <fgColor rgb="FFE8EAF6"/>
        <bgColor rgb="FFEBF5FB"/>
      </patternFill>
    </fill>
    <fill>
      <patternFill patternType="solid">
        <fgColor rgb="FFE8F5E9"/>
        <bgColor rgb="FFEBF5FB"/>
      </patternFill>
    </fill>
    <fill>
      <patternFill patternType="solid">
        <fgColor rgb="FFFFF3E0"/>
        <bgColor rgb="FFFBE9E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7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3" fontId="3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FDFE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8EAF6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237E"/>
      <rgbColor rgb="FF339966"/>
      <rgbColor rgb="FF003300"/>
      <rgbColor rgb="FF333300"/>
      <rgbColor rgb="FFBF36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10" zoomScaleNormal="100" workbookViewId="0">
      <selection activeCell="K19" sqref="K19"/>
    </sheetView>
  </sheetViews>
  <sheetFormatPr defaultColWidth="8.7109375" defaultRowHeight="15" x14ac:dyDescent="0.25"/>
  <cols>
    <col min="1" max="1" width="10" customWidth="1"/>
    <col min="2" max="2" width="28" customWidth="1"/>
    <col min="3" max="3" width="14" customWidth="1"/>
    <col min="4" max="4" width="10" customWidth="1"/>
    <col min="5" max="6" width="16" customWidth="1"/>
    <col min="7" max="7" width="12" customWidth="1"/>
    <col min="8" max="11" width="16" customWidth="1"/>
  </cols>
  <sheetData>
    <row r="1" spans="1:11" ht="31.5" customHeight="1" x14ac:dyDescent="0.25">
      <c r="A1" s="4" t="s">
        <v>113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8" customHeight="1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27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pans="1:11" ht="19.5" customHeight="1" x14ac:dyDescent="0.25">
      <c r="A4" s="6" t="s">
        <v>12</v>
      </c>
      <c r="B4" s="7" t="s">
        <v>13</v>
      </c>
      <c r="C4" s="7" t="s">
        <v>14</v>
      </c>
      <c r="D4" s="6" t="s">
        <v>15</v>
      </c>
      <c r="E4" s="6">
        <v>150</v>
      </c>
      <c r="F4" s="6">
        <v>200</v>
      </c>
      <c r="G4" s="6">
        <v>310</v>
      </c>
      <c r="H4" s="8">
        <f t="shared" ref="H4:H18" si="0">E4+F4-G4</f>
        <v>40</v>
      </c>
      <c r="I4" s="9">
        <v>450</v>
      </c>
      <c r="J4" s="10">
        <f t="shared" ref="J4:J18" si="1">H4*I4</f>
        <v>18000</v>
      </c>
      <c r="K4" s="8" t="str">
        <f t="shared" ref="K4:K18" si="2">IF(H4&lt;=0,"OUT OF STOCK",IF(H4&lt;=10,"⚠ Critical",IF(H4&lt;=20,"⚡ Low Stock","✅ In Stock")))</f>
        <v>✅ In Stock</v>
      </c>
    </row>
    <row r="5" spans="1:11" ht="19.5" customHeight="1" x14ac:dyDescent="0.25">
      <c r="A5" s="11" t="s">
        <v>16</v>
      </c>
      <c r="B5" s="12" t="s">
        <v>17</v>
      </c>
      <c r="C5" s="12" t="s">
        <v>14</v>
      </c>
      <c r="D5" s="11" t="s">
        <v>18</v>
      </c>
      <c r="E5" s="11">
        <v>80</v>
      </c>
      <c r="F5" s="11">
        <v>100</v>
      </c>
      <c r="G5" s="11">
        <v>142</v>
      </c>
      <c r="H5" s="13">
        <f t="shared" si="0"/>
        <v>38</v>
      </c>
      <c r="I5" s="14">
        <v>120</v>
      </c>
      <c r="J5" s="15">
        <f t="shared" si="1"/>
        <v>4560</v>
      </c>
      <c r="K5" s="13" t="str">
        <f t="shared" si="2"/>
        <v>✅ In Stock</v>
      </c>
    </row>
    <row r="6" spans="1:11" ht="19.5" customHeight="1" x14ac:dyDescent="0.25">
      <c r="A6" s="6" t="s">
        <v>19</v>
      </c>
      <c r="B6" s="7" t="s">
        <v>20</v>
      </c>
      <c r="C6" s="7" t="s">
        <v>21</v>
      </c>
      <c r="D6" s="6" t="s">
        <v>22</v>
      </c>
      <c r="E6" s="6">
        <v>30</v>
      </c>
      <c r="F6" s="6">
        <v>20</v>
      </c>
      <c r="G6" s="6">
        <v>38</v>
      </c>
      <c r="H6" s="8">
        <f t="shared" si="0"/>
        <v>12</v>
      </c>
      <c r="I6" s="9">
        <v>850</v>
      </c>
      <c r="J6" s="10">
        <f t="shared" si="1"/>
        <v>10200</v>
      </c>
      <c r="K6" s="8" t="str">
        <f t="shared" si="2"/>
        <v>⚡ Low Stock</v>
      </c>
    </row>
    <row r="7" spans="1:11" ht="19.5" customHeight="1" x14ac:dyDescent="0.25">
      <c r="A7" s="11" t="s">
        <v>23</v>
      </c>
      <c r="B7" s="12" t="s">
        <v>24</v>
      </c>
      <c r="C7" s="12" t="s">
        <v>14</v>
      </c>
      <c r="D7" s="11" t="s">
        <v>22</v>
      </c>
      <c r="E7" s="11">
        <v>60</v>
      </c>
      <c r="F7" s="11">
        <v>40</v>
      </c>
      <c r="G7" s="11">
        <v>88</v>
      </c>
      <c r="H7" s="13">
        <f t="shared" si="0"/>
        <v>12</v>
      </c>
      <c r="I7" s="14">
        <v>95</v>
      </c>
      <c r="J7" s="15">
        <f t="shared" si="1"/>
        <v>1140</v>
      </c>
      <c r="K7" s="13" t="str">
        <f t="shared" si="2"/>
        <v>⚡ Low Stock</v>
      </c>
    </row>
    <row r="8" spans="1:11" ht="19.5" customHeight="1" x14ac:dyDescent="0.25">
      <c r="A8" s="6" t="s">
        <v>25</v>
      </c>
      <c r="B8" s="7" t="s">
        <v>26</v>
      </c>
      <c r="C8" s="7" t="s">
        <v>14</v>
      </c>
      <c r="D8" s="6" t="s">
        <v>27</v>
      </c>
      <c r="E8" s="6">
        <v>25</v>
      </c>
      <c r="F8" s="6">
        <v>30</v>
      </c>
      <c r="G8" s="6">
        <v>48</v>
      </c>
      <c r="H8" s="8">
        <f t="shared" si="0"/>
        <v>7</v>
      </c>
      <c r="I8" s="9">
        <v>180</v>
      </c>
      <c r="J8" s="10">
        <f t="shared" si="1"/>
        <v>1260</v>
      </c>
      <c r="K8" s="8" t="str">
        <f t="shared" si="2"/>
        <v>⚠ Critical</v>
      </c>
    </row>
    <row r="9" spans="1:11" ht="19.5" customHeight="1" x14ac:dyDescent="0.25">
      <c r="A9" s="11" t="s">
        <v>28</v>
      </c>
      <c r="B9" s="12" t="s">
        <v>29</v>
      </c>
      <c r="C9" s="12" t="s">
        <v>21</v>
      </c>
      <c r="D9" s="11" t="s">
        <v>22</v>
      </c>
      <c r="E9" s="11">
        <v>20</v>
      </c>
      <c r="F9" s="11">
        <v>15</v>
      </c>
      <c r="G9" s="11">
        <v>28</v>
      </c>
      <c r="H9" s="13">
        <f t="shared" si="0"/>
        <v>7</v>
      </c>
      <c r="I9" s="14">
        <v>1200</v>
      </c>
      <c r="J9" s="15">
        <f t="shared" si="1"/>
        <v>8400</v>
      </c>
      <c r="K9" s="13" t="str">
        <f t="shared" si="2"/>
        <v>⚠ Critical</v>
      </c>
    </row>
    <row r="10" spans="1:11" ht="19.5" customHeight="1" x14ac:dyDescent="0.25">
      <c r="A10" s="6" t="s">
        <v>30</v>
      </c>
      <c r="B10" s="7" t="s">
        <v>31</v>
      </c>
      <c r="C10" s="7" t="s">
        <v>32</v>
      </c>
      <c r="D10" s="6" t="s">
        <v>22</v>
      </c>
      <c r="E10" s="6">
        <v>15</v>
      </c>
      <c r="F10" s="6">
        <v>10</v>
      </c>
      <c r="G10" s="6">
        <v>18</v>
      </c>
      <c r="H10" s="8">
        <f t="shared" si="0"/>
        <v>7</v>
      </c>
      <c r="I10" s="9">
        <v>350</v>
      </c>
      <c r="J10" s="10">
        <f t="shared" si="1"/>
        <v>2450</v>
      </c>
      <c r="K10" s="8" t="str">
        <f t="shared" si="2"/>
        <v>⚠ Critical</v>
      </c>
    </row>
    <row r="11" spans="1:11" ht="19.5" customHeight="1" x14ac:dyDescent="0.25">
      <c r="A11" s="11" t="s">
        <v>33</v>
      </c>
      <c r="B11" s="12" t="s">
        <v>34</v>
      </c>
      <c r="C11" s="12" t="s">
        <v>14</v>
      </c>
      <c r="D11" s="11" t="s">
        <v>35</v>
      </c>
      <c r="E11" s="11">
        <v>50</v>
      </c>
      <c r="F11" s="11">
        <v>60</v>
      </c>
      <c r="G11" s="11">
        <v>95</v>
      </c>
      <c r="H11" s="13">
        <f t="shared" si="0"/>
        <v>15</v>
      </c>
      <c r="I11" s="14">
        <v>80</v>
      </c>
      <c r="J11" s="15">
        <f t="shared" si="1"/>
        <v>1200</v>
      </c>
      <c r="K11" s="13" t="str">
        <f t="shared" si="2"/>
        <v>⚡ Low Stock</v>
      </c>
    </row>
    <row r="12" spans="1:11" ht="19.5" customHeight="1" x14ac:dyDescent="0.25">
      <c r="A12" s="6" t="s">
        <v>36</v>
      </c>
      <c r="B12" s="7" t="s">
        <v>37</v>
      </c>
      <c r="C12" s="7" t="s">
        <v>21</v>
      </c>
      <c r="D12" s="6" t="s">
        <v>22</v>
      </c>
      <c r="E12" s="6">
        <v>40</v>
      </c>
      <c r="F12" s="6">
        <v>30</v>
      </c>
      <c r="G12" s="6">
        <v>62</v>
      </c>
      <c r="H12" s="8">
        <f t="shared" si="0"/>
        <v>8</v>
      </c>
      <c r="I12" s="9">
        <v>499</v>
      </c>
      <c r="J12" s="10">
        <f t="shared" si="1"/>
        <v>3992</v>
      </c>
      <c r="K12" s="8" t="str">
        <f t="shared" si="2"/>
        <v>⚠ Critical</v>
      </c>
    </row>
    <row r="13" spans="1:11" ht="19.5" customHeight="1" x14ac:dyDescent="0.25">
      <c r="A13" s="11" t="s">
        <v>38</v>
      </c>
      <c r="B13" s="12" t="s">
        <v>39</v>
      </c>
      <c r="C13" s="12" t="s">
        <v>14</v>
      </c>
      <c r="D13" s="11" t="s">
        <v>22</v>
      </c>
      <c r="E13" s="11">
        <v>200</v>
      </c>
      <c r="F13" s="11">
        <v>300</v>
      </c>
      <c r="G13" s="11">
        <v>440</v>
      </c>
      <c r="H13" s="13">
        <f t="shared" si="0"/>
        <v>60</v>
      </c>
      <c r="I13" s="14">
        <v>45</v>
      </c>
      <c r="J13" s="15">
        <f t="shared" si="1"/>
        <v>2700</v>
      </c>
      <c r="K13" s="13" t="str">
        <f t="shared" si="2"/>
        <v>✅ In Stock</v>
      </c>
    </row>
    <row r="14" spans="1:11" ht="19.5" customHeight="1" x14ac:dyDescent="0.25">
      <c r="A14" s="6" t="s">
        <v>40</v>
      </c>
      <c r="B14" s="7" t="s">
        <v>41</v>
      </c>
      <c r="C14" s="7" t="s">
        <v>32</v>
      </c>
      <c r="D14" s="6" t="s">
        <v>22</v>
      </c>
      <c r="E14" s="6">
        <v>18</v>
      </c>
      <c r="F14" s="6">
        <v>5</v>
      </c>
      <c r="G14" s="6">
        <v>16</v>
      </c>
      <c r="H14" s="8">
        <f t="shared" si="0"/>
        <v>7</v>
      </c>
      <c r="I14" s="9">
        <v>60</v>
      </c>
      <c r="J14" s="10">
        <f t="shared" si="1"/>
        <v>420</v>
      </c>
      <c r="K14" s="8" t="str">
        <f t="shared" si="2"/>
        <v>⚠ Critical</v>
      </c>
    </row>
    <row r="15" spans="1:11" ht="19.5" customHeight="1" x14ac:dyDescent="0.25">
      <c r="A15" s="11" t="s">
        <v>42</v>
      </c>
      <c r="B15" s="12" t="s">
        <v>43</v>
      </c>
      <c r="C15" s="12" t="s">
        <v>21</v>
      </c>
      <c r="D15" s="11" t="s">
        <v>22</v>
      </c>
      <c r="E15" s="11">
        <v>10</v>
      </c>
      <c r="F15" s="11">
        <v>5</v>
      </c>
      <c r="G15" s="11">
        <v>8</v>
      </c>
      <c r="H15" s="13">
        <f t="shared" si="0"/>
        <v>7</v>
      </c>
      <c r="I15" s="14">
        <v>1499</v>
      </c>
      <c r="J15" s="15">
        <f t="shared" si="1"/>
        <v>10493</v>
      </c>
      <c r="K15" s="13" t="str">
        <f t="shared" si="2"/>
        <v>⚠ Critical</v>
      </c>
    </row>
    <row r="16" spans="1:11" ht="19.5" customHeight="1" x14ac:dyDescent="0.25">
      <c r="A16" s="6" t="s">
        <v>44</v>
      </c>
      <c r="B16" s="7" t="s">
        <v>45</v>
      </c>
      <c r="C16" s="7" t="s">
        <v>14</v>
      </c>
      <c r="D16" s="6" t="s">
        <v>22</v>
      </c>
      <c r="E16" s="6">
        <v>35</v>
      </c>
      <c r="F16" s="6">
        <v>20</v>
      </c>
      <c r="G16" s="6">
        <v>48</v>
      </c>
      <c r="H16" s="8">
        <f t="shared" si="0"/>
        <v>7</v>
      </c>
      <c r="I16" s="9">
        <v>55</v>
      </c>
      <c r="J16" s="10">
        <f t="shared" si="1"/>
        <v>385</v>
      </c>
      <c r="K16" s="8" t="str">
        <f t="shared" si="2"/>
        <v>⚠ Critical</v>
      </c>
    </row>
    <row r="17" spans="1:11" ht="19.5" customHeight="1" x14ac:dyDescent="0.25">
      <c r="A17" s="11" t="s">
        <v>46</v>
      </c>
      <c r="B17" s="12" t="s">
        <v>47</v>
      </c>
      <c r="C17" s="12" t="s">
        <v>32</v>
      </c>
      <c r="D17" s="11" t="s">
        <v>18</v>
      </c>
      <c r="E17" s="11">
        <v>25</v>
      </c>
      <c r="F17" s="11">
        <v>30</v>
      </c>
      <c r="G17" s="11">
        <v>42</v>
      </c>
      <c r="H17" s="13">
        <f t="shared" si="0"/>
        <v>13</v>
      </c>
      <c r="I17" s="14">
        <v>320</v>
      </c>
      <c r="J17" s="15">
        <f t="shared" si="1"/>
        <v>4160</v>
      </c>
      <c r="K17" s="13" t="str">
        <f t="shared" si="2"/>
        <v>⚡ Low Stock</v>
      </c>
    </row>
    <row r="18" spans="1:11" ht="19.5" customHeight="1" x14ac:dyDescent="0.25">
      <c r="A18" s="6" t="s">
        <v>48</v>
      </c>
      <c r="B18" s="7" t="s">
        <v>49</v>
      </c>
      <c r="C18" s="7" t="s">
        <v>14</v>
      </c>
      <c r="D18" s="6" t="s">
        <v>27</v>
      </c>
      <c r="E18" s="6">
        <v>20</v>
      </c>
      <c r="F18" s="6">
        <v>15</v>
      </c>
      <c r="G18" s="6">
        <v>28</v>
      </c>
      <c r="H18" s="8">
        <f t="shared" si="0"/>
        <v>7</v>
      </c>
      <c r="I18" s="9">
        <v>150</v>
      </c>
      <c r="J18" s="10">
        <f t="shared" si="1"/>
        <v>1050</v>
      </c>
      <c r="K18" s="8" t="str">
        <f t="shared" si="2"/>
        <v>⚠ Critical</v>
      </c>
    </row>
    <row r="19" spans="1:11" ht="24" customHeight="1" x14ac:dyDescent="0.25">
      <c r="A19" s="3" t="s">
        <v>50</v>
      </c>
      <c r="B19" s="3"/>
      <c r="C19" s="3"/>
      <c r="D19" s="3"/>
      <c r="E19" s="3"/>
      <c r="F19" s="3"/>
      <c r="G19" s="3"/>
      <c r="H19" s="16">
        <f>SUM(H4:H18)</f>
        <v>247</v>
      </c>
      <c r="I19" s="17"/>
      <c r="J19" s="18">
        <f>SUM(J4:J18)</f>
        <v>70410</v>
      </c>
      <c r="K19" s="19" t="str">
        <f>COUNTIF(K4:K18,"⚠ Critical")&amp;" Critical / "&amp;COUNTIF(K4:K18,"⚡ Low Stock")&amp;" Low"</f>
        <v>8 Critical / 4 Low</v>
      </c>
    </row>
  </sheetData>
  <mergeCells count="3">
    <mergeCell ref="A19:G19"/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zoomScaleNormal="100" workbookViewId="0">
      <selection activeCell="D4" sqref="D4"/>
    </sheetView>
  </sheetViews>
  <sheetFormatPr defaultColWidth="8.7109375" defaultRowHeight="15" x14ac:dyDescent="0.25"/>
  <cols>
    <col min="1" max="1" width="10" customWidth="1"/>
    <col min="2" max="2" width="14" customWidth="1"/>
    <col min="3" max="3" width="10" customWidth="1"/>
    <col min="4" max="4" width="26" customWidth="1"/>
    <col min="5" max="5" width="18" customWidth="1"/>
    <col min="6" max="6" width="10" customWidth="1"/>
    <col min="7" max="7" width="24" customWidth="1"/>
  </cols>
  <sheetData>
    <row r="1" spans="1:7" ht="31.5" customHeight="1" x14ac:dyDescent="0.25">
      <c r="A1" s="2" t="s">
        <v>114</v>
      </c>
      <c r="B1" s="2"/>
      <c r="C1" s="2"/>
      <c r="D1" s="2"/>
      <c r="E1" s="2"/>
      <c r="F1" s="2"/>
      <c r="G1" s="2"/>
    </row>
    <row r="2" spans="1:7" ht="18" customHeight="1" x14ac:dyDescent="0.25">
      <c r="A2" s="1" t="s">
        <v>51</v>
      </c>
      <c r="B2" s="1"/>
      <c r="C2" s="1"/>
      <c r="D2" s="1"/>
      <c r="E2" s="1"/>
      <c r="F2" s="1"/>
      <c r="G2" s="1"/>
    </row>
    <row r="3" spans="1:7" ht="27.75" customHeight="1" x14ac:dyDescent="0.25">
      <c r="A3" s="20" t="s">
        <v>52</v>
      </c>
      <c r="B3" s="20" t="s">
        <v>53</v>
      </c>
      <c r="C3" s="20" t="s">
        <v>1</v>
      </c>
      <c r="D3" s="20" t="s">
        <v>2</v>
      </c>
      <c r="E3" s="20" t="s">
        <v>54</v>
      </c>
      <c r="F3" s="20" t="s">
        <v>55</v>
      </c>
      <c r="G3" s="20" t="s">
        <v>56</v>
      </c>
    </row>
    <row r="4" spans="1:7" ht="19.5" customHeight="1" x14ac:dyDescent="0.25">
      <c r="A4" s="21" t="s">
        <v>57</v>
      </c>
      <c r="B4" s="21" t="s">
        <v>58</v>
      </c>
      <c r="C4" s="21" t="s">
        <v>12</v>
      </c>
      <c r="D4" s="22" t="s">
        <v>59</v>
      </c>
      <c r="E4" s="21" t="s">
        <v>60</v>
      </c>
      <c r="F4" s="21">
        <v>100</v>
      </c>
      <c r="G4" s="22" t="s">
        <v>61</v>
      </c>
    </row>
    <row r="5" spans="1:7" ht="19.5" customHeight="1" x14ac:dyDescent="0.25">
      <c r="A5" s="21" t="s">
        <v>62</v>
      </c>
      <c r="B5" s="21" t="s">
        <v>63</v>
      </c>
      <c r="C5" s="21" t="s">
        <v>16</v>
      </c>
      <c r="D5" s="22" t="s">
        <v>17</v>
      </c>
      <c r="E5" s="21" t="s">
        <v>60</v>
      </c>
      <c r="F5" s="21">
        <v>50</v>
      </c>
      <c r="G5" s="22" t="s">
        <v>64</v>
      </c>
    </row>
    <row r="6" spans="1:7" ht="19.5" customHeight="1" x14ac:dyDescent="0.25">
      <c r="A6" s="23" t="s">
        <v>65</v>
      </c>
      <c r="B6" s="23" t="s">
        <v>66</v>
      </c>
      <c r="C6" s="23" t="s">
        <v>12</v>
      </c>
      <c r="D6" s="24" t="s">
        <v>59</v>
      </c>
      <c r="E6" s="23" t="s">
        <v>67</v>
      </c>
      <c r="F6" s="23">
        <v>40</v>
      </c>
      <c r="G6" s="24" t="s">
        <v>68</v>
      </c>
    </row>
    <row r="7" spans="1:7" ht="19.5" customHeight="1" x14ac:dyDescent="0.25">
      <c r="A7" s="23" t="s">
        <v>69</v>
      </c>
      <c r="B7" s="23" t="s">
        <v>70</v>
      </c>
      <c r="C7" s="23" t="s">
        <v>36</v>
      </c>
      <c r="D7" s="24" t="s">
        <v>71</v>
      </c>
      <c r="E7" s="23" t="s">
        <v>67</v>
      </c>
      <c r="F7" s="23">
        <v>12</v>
      </c>
      <c r="G7" s="24" t="s">
        <v>72</v>
      </c>
    </row>
    <row r="8" spans="1:7" ht="19.5" customHeight="1" x14ac:dyDescent="0.25">
      <c r="A8" s="21" t="s">
        <v>73</v>
      </c>
      <c r="B8" s="21" t="s">
        <v>74</v>
      </c>
      <c r="C8" s="21" t="s">
        <v>19</v>
      </c>
      <c r="D8" s="22" t="s">
        <v>75</v>
      </c>
      <c r="E8" s="21" t="s">
        <v>60</v>
      </c>
      <c r="F8" s="21">
        <v>20</v>
      </c>
      <c r="G8" s="22" t="s">
        <v>76</v>
      </c>
    </row>
    <row r="9" spans="1:7" ht="19.5" customHeight="1" x14ac:dyDescent="0.25">
      <c r="A9" s="21" t="s">
        <v>77</v>
      </c>
      <c r="B9" s="21" t="s">
        <v>78</v>
      </c>
      <c r="C9" s="21" t="s">
        <v>38</v>
      </c>
      <c r="D9" s="22" t="s">
        <v>79</v>
      </c>
      <c r="E9" s="21" t="s">
        <v>60</v>
      </c>
      <c r="F9" s="21">
        <v>150</v>
      </c>
      <c r="G9" s="22" t="s">
        <v>80</v>
      </c>
    </row>
    <row r="10" spans="1:7" ht="19.5" customHeight="1" x14ac:dyDescent="0.25">
      <c r="A10" s="23" t="s">
        <v>81</v>
      </c>
      <c r="B10" s="23" t="s">
        <v>82</v>
      </c>
      <c r="C10" s="23" t="s">
        <v>28</v>
      </c>
      <c r="D10" s="24" t="s">
        <v>83</v>
      </c>
      <c r="E10" s="23" t="s">
        <v>67</v>
      </c>
      <c r="F10" s="23">
        <v>7</v>
      </c>
      <c r="G10" s="24" t="s">
        <v>84</v>
      </c>
    </row>
    <row r="11" spans="1:7" ht="19.5" customHeight="1" x14ac:dyDescent="0.25">
      <c r="A11" s="23" t="s">
        <v>85</v>
      </c>
      <c r="B11" s="23" t="s">
        <v>86</v>
      </c>
      <c r="C11" s="23" t="s">
        <v>25</v>
      </c>
      <c r="D11" s="24" t="s">
        <v>87</v>
      </c>
      <c r="E11" s="23" t="s">
        <v>67</v>
      </c>
      <c r="F11" s="23">
        <v>10</v>
      </c>
      <c r="G11" s="24" t="s">
        <v>88</v>
      </c>
    </row>
    <row r="12" spans="1:7" ht="19.5" customHeight="1" x14ac:dyDescent="0.25">
      <c r="A12" s="21" t="s">
        <v>89</v>
      </c>
      <c r="B12" s="21" t="s">
        <v>90</v>
      </c>
      <c r="C12" s="21" t="s">
        <v>23</v>
      </c>
      <c r="D12" s="22" t="s">
        <v>24</v>
      </c>
      <c r="E12" s="21" t="s">
        <v>60</v>
      </c>
      <c r="F12" s="21">
        <v>40</v>
      </c>
      <c r="G12" s="22" t="s">
        <v>91</v>
      </c>
    </row>
    <row r="13" spans="1:7" ht="19.5" customHeight="1" x14ac:dyDescent="0.25">
      <c r="A13" s="23" t="s">
        <v>92</v>
      </c>
      <c r="B13" s="23" t="s">
        <v>93</v>
      </c>
      <c r="C13" s="23" t="s">
        <v>42</v>
      </c>
      <c r="D13" s="24" t="s">
        <v>43</v>
      </c>
      <c r="E13" s="23" t="s">
        <v>67</v>
      </c>
      <c r="F13" s="23">
        <v>7</v>
      </c>
      <c r="G13" s="24" t="s">
        <v>94</v>
      </c>
    </row>
    <row r="14" spans="1:7" ht="19.5" customHeight="1" x14ac:dyDescent="0.25">
      <c r="A14" s="21" t="s">
        <v>95</v>
      </c>
      <c r="B14" s="21" t="s">
        <v>96</v>
      </c>
      <c r="C14" s="21" t="s">
        <v>33</v>
      </c>
      <c r="D14" s="22" t="s">
        <v>97</v>
      </c>
      <c r="E14" s="21" t="s">
        <v>60</v>
      </c>
      <c r="F14" s="21">
        <v>60</v>
      </c>
      <c r="G14" s="22" t="s">
        <v>98</v>
      </c>
    </row>
    <row r="15" spans="1:7" ht="19.5" customHeight="1" x14ac:dyDescent="0.25">
      <c r="A15" s="23" t="s">
        <v>99</v>
      </c>
      <c r="B15" s="23" t="s">
        <v>100</v>
      </c>
      <c r="C15" s="23" t="s">
        <v>40</v>
      </c>
      <c r="D15" s="24" t="s">
        <v>41</v>
      </c>
      <c r="E15" s="23" t="s">
        <v>67</v>
      </c>
      <c r="F15" s="23">
        <v>4</v>
      </c>
      <c r="G15" s="24" t="s">
        <v>101</v>
      </c>
    </row>
    <row r="16" spans="1:7" ht="19.5" customHeight="1" x14ac:dyDescent="0.25">
      <c r="A16" s="23" t="s">
        <v>102</v>
      </c>
      <c r="B16" s="23" t="s">
        <v>103</v>
      </c>
      <c r="C16" s="23" t="s">
        <v>44</v>
      </c>
      <c r="D16" s="24" t="s">
        <v>45</v>
      </c>
      <c r="E16" s="23" t="s">
        <v>67</v>
      </c>
      <c r="F16" s="23">
        <v>12</v>
      </c>
      <c r="G16" s="24" t="s">
        <v>104</v>
      </c>
    </row>
    <row r="17" spans="1:7" ht="19.5" customHeight="1" x14ac:dyDescent="0.25">
      <c r="A17" s="21" t="s">
        <v>105</v>
      </c>
      <c r="B17" s="21" t="s">
        <v>106</v>
      </c>
      <c r="C17" s="21" t="s">
        <v>46</v>
      </c>
      <c r="D17" s="22" t="s">
        <v>107</v>
      </c>
      <c r="E17" s="21" t="s">
        <v>60</v>
      </c>
      <c r="F17" s="21">
        <v>30</v>
      </c>
      <c r="G17" s="22" t="s">
        <v>108</v>
      </c>
    </row>
    <row r="18" spans="1:7" ht="19.5" customHeight="1" x14ac:dyDescent="0.25">
      <c r="A18" s="23" t="s">
        <v>109</v>
      </c>
      <c r="B18" s="23" t="s">
        <v>110</v>
      </c>
      <c r="C18" s="23" t="s">
        <v>48</v>
      </c>
      <c r="D18" s="24" t="s">
        <v>111</v>
      </c>
      <c r="E18" s="23" t="s">
        <v>67</v>
      </c>
      <c r="F18" s="23">
        <v>8</v>
      </c>
      <c r="G18" s="24" t="s">
        <v>112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Tracker</vt:lpstr>
      <vt:lpstr>Stock Movement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2026-05-26T13:38:56Z</dcterms:created>
  <dcterms:modified xsi:type="dcterms:W3CDTF">2026-05-26T14:02:55Z</dcterms:modified>
  <dc:language>en-US</dc:language>
</cp:coreProperties>
</file>