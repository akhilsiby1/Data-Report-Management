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665" tabRatio="500" activeTab="2"/>
  </bookViews>
  <sheets>
    <sheet name="Student Directory" sheetId="1" r:id="rId1"/>
    <sheet name="Marks &amp; Grades" sheetId="2" r:id="rId2"/>
    <sheet name="Attendance" sheetId="3" r:id="rId3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3" i="3" l="1"/>
  <c r="H13" i="3" s="1"/>
  <c r="H12" i="3"/>
  <c r="F12" i="3"/>
  <c r="G12" i="3" s="1"/>
  <c r="G11" i="3"/>
  <c r="F11" i="3"/>
  <c r="H11" i="3" s="1"/>
  <c r="F10" i="3"/>
  <c r="H10" i="3" s="1"/>
  <c r="H9" i="3"/>
  <c r="F9" i="3"/>
  <c r="G9" i="3" s="1"/>
  <c r="H8" i="3"/>
  <c r="G8" i="3"/>
  <c r="F8" i="3"/>
  <c r="G7" i="3"/>
  <c r="F7" i="3"/>
  <c r="H7" i="3" s="1"/>
  <c r="F6" i="3"/>
  <c r="H6" i="3" s="1"/>
  <c r="H5" i="3"/>
  <c r="F5" i="3"/>
  <c r="G5" i="3" s="1"/>
  <c r="H4" i="3"/>
  <c r="G4" i="3"/>
  <c r="F4" i="3"/>
  <c r="G14" i="2"/>
  <c r="F14" i="2"/>
  <c r="E14" i="2"/>
  <c r="D14" i="2"/>
  <c r="C14" i="2"/>
  <c r="K13" i="2"/>
  <c r="H13" i="2"/>
  <c r="I13" i="2" s="1"/>
  <c r="J13" i="2" s="1"/>
  <c r="K12" i="2"/>
  <c r="H12" i="2"/>
  <c r="I12" i="2" s="1"/>
  <c r="J12" i="2" s="1"/>
  <c r="K11" i="2"/>
  <c r="H11" i="2"/>
  <c r="I11" i="2" s="1"/>
  <c r="J11" i="2" s="1"/>
  <c r="K10" i="2"/>
  <c r="H10" i="2"/>
  <c r="I10" i="2" s="1"/>
  <c r="J10" i="2" s="1"/>
  <c r="K9" i="2"/>
  <c r="H9" i="2"/>
  <c r="I9" i="2" s="1"/>
  <c r="J9" i="2" s="1"/>
  <c r="K8" i="2"/>
  <c r="H8" i="2"/>
  <c r="I8" i="2" s="1"/>
  <c r="J8" i="2" s="1"/>
  <c r="K7" i="2"/>
  <c r="H7" i="2"/>
  <c r="I7" i="2" s="1"/>
  <c r="J7" i="2" s="1"/>
  <c r="K6" i="2"/>
  <c r="H6" i="2"/>
  <c r="I6" i="2" s="1"/>
  <c r="J6" i="2" s="1"/>
  <c r="K5" i="2"/>
  <c r="H5" i="2"/>
  <c r="I5" i="2" s="1"/>
  <c r="J5" i="2" s="1"/>
  <c r="K4" i="2"/>
  <c r="H4" i="2"/>
  <c r="H14" i="2" s="1"/>
  <c r="I4" i="2" l="1"/>
  <c r="G6" i="3"/>
  <c r="G10" i="3"/>
  <c r="G13" i="3"/>
  <c r="I14" i="2" l="1"/>
  <c r="J4" i="2"/>
</calcChain>
</file>

<file path=xl/sharedStrings.xml><?xml version="1.0" encoding="utf-8"?>
<sst xmlns="http://schemas.openxmlformats.org/spreadsheetml/2006/main" count="176" uniqueCount="117">
  <si>
    <t>Academic Year 2024–2025  |  Updated: May 2025</t>
  </si>
  <si>
    <t>Student ID</t>
  </si>
  <si>
    <t>Full Name</t>
  </si>
  <si>
    <t>Class</t>
  </si>
  <si>
    <t>Section</t>
  </si>
  <si>
    <t>Date of Birth</t>
  </si>
  <si>
    <t>Contact Number</t>
  </si>
  <si>
    <t>Parent Name</t>
  </si>
  <si>
    <t>Parent Contact</t>
  </si>
  <si>
    <t>Email</t>
  </si>
  <si>
    <t>Address</t>
  </si>
  <si>
    <t>STU001</t>
  </si>
  <si>
    <t>Aarav Sharma</t>
  </si>
  <si>
    <t>10</t>
  </si>
  <si>
    <t>A</t>
  </si>
  <si>
    <t>12-Mar-2008</t>
  </si>
  <si>
    <t>9876543210</t>
  </si>
  <si>
    <t>Rajesh Sharma</t>
  </si>
  <si>
    <t>9876543200</t>
  </si>
  <si>
    <t>aarav.s@school.edu</t>
  </si>
  <si>
    <t>12 MG Road, Kochi</t>
  </si>
  <si>
    <t>STU002</t>
  </si>
  <si>
    <t>Priya Nair</t>
  </si>
  <si>
    <t>B</t>
  </si>
  <si>
    <t>05-Jul-2008</t>
  </si>
  <si>
    <t>9845678901</t>
  </si>
  <si>
    <t>Suresh Nair</t>
  </si>
  <si>
    <t>9845678900</t>
  </si>
  <si>
    <t>priya.n@school.edu</t>
  </si>
  <si>
    <t>45 NH Bypass, Thrissur</t>
  </si>
  <si>
    <t>STU003</t>
  </si>
  <si>
    <t>Mohammed Zaid</t>
  </si>
  <si>
    <t>9</t>
  </si>
  <si>
    <t>22-Nov-2009</t>
  </si>
  <si>
    <t>9812345678</t>
  </si>
  <si>
    <t>Ibrahim Zaid</t>
  </si>
  <si>
    <t>9812345670</t>
  </si>
  <si>
    <t>m.zaid@school.edu</t>
  </si>
  <si>
    <t>78 Beach Road, Kozhikode</t>
  </si>
  <si>
    <t>STU004</t>
  </si>
  <si>
    <t>Sneha Menon</t>
  </si>
  <si>
    <t>17-Jan-2009</t>
  </si>
  <si>
    <t>9834567890</t>
  </si>
  <si>
    <t>Ravi Menon</t>
  </si>
  <si>
    <t>9834567880</t>
  </si>
  <si>
    <t>sneha.m@school.edu</t>
  </si>
  <si>
    <t>23 Civil Lines, Palakkad</t>
  </si>
  <si>
    <t>STU005</t>
  </si>
  <si>
    <t>Rahul Krishnan</t>
  </si>
  <si>
    <t>08-Sep-2008</t>
  </si>
  <si>
    <t>9867890123</t>
  </si>
  <si>
    <t>Anil Krishnan</t>
  </si>
  <si>
    <t>9867890120</t>
  </si>
  <si>
    <t>rahul.k@school.edu</t>
  </si>
  <si>
    <t>56 Lake View, Alappuzha</t>
  </si>
  <si>
    <t>STU006</t>
  </si>
  <si>
    <t>Ananya Das</t>
  </si>
  <si>
    <t>14-Apr-2009</t>
  </si>
  <si>
    <t>9890123456</t>
  </si>
  <si>
    <t>Sunil Das</t>
  </si>
  <si>
    <t>9890123450</t>
  </si>
  <si>
    <t>ananya.d@school.edu</t>
  </si>
  <si>
    <t>89 Park Street, Kannur</t>
  </si>
  <si>
    <t>STU007</t>
  </si>
  <si>
    <t>Kiran Thomas</t>
  </si>
  <si>
    <t>29-Jun-2008</t>
  </si>
  <si>
    <t>9923456789</t>
  </si>
  <si>
    <t>George Thomas</t>
  </si>
  <si>
    <t>9923456780</t>
  </si>
  <si>
    <t>kiran.t@school.edu</t>
  </si>
  <si>
    <t>34 Hill Road, Idukki</t>
  </si>
  <si>
    <t>STU008</t>
  </si>
  <si>
    <t>Fatima Banu</t>
  </si>
  <si>
    <t>03-Dec-2009</t>
  </si>
  <si>
    <t>9956789012</t>
  </si>
  <si>
    <t>Ahmed Banu</t>
  </si>
  <si>
    <t>9956789010</t>
  </si>
  <si>
    <t>fatima.b@school.edu</t>
  </si>
  <si>
    <t>67 Sea View, Malappuram</t>
  </si>
  <si>
    <t>STU009</t>
  </si>
  <si>
    <t>Arjun Pillai</t>
  </si>
  <si>
    <t>19-Feb-2008</t>
  </si>
  <si>
    <t>9989012345</t>
  </si>
  <si>
    <t>Mohan Pillai</t>
  </si>
  <si>
    <t>9989012340</t>
  </si>
  <si>
    <t>arjun.p@school.edu</t>
  </si>
  <si>
    <t>12 Garden Lane, Pathanamthitta</t>
  </si>
  <si>
    <t>STU010</t>
  </si>
  <si>
    <t>Divya Rajan</t>
  </si>
  <si>
    <t>11-Aug-2009</t>
  </si>
  <si>
    <t>9012345678</t>
  </si>
  <si>
    <t>Sajan Rajan</t>
  </si>
  <si>
    <t>9012345670</t>
  </si>
  <si>
    <t>divya.r@school.edu</t>
  </si>
  <si>
    <t>45 River Bank, Wayanad</t>
  </si>
  <si>
    <t>Max Marks per Subject: 100  |  Pass Mark: 35</t>
  </si>
  <si>
    <t>Student Name</t>
  </si>
  <si>
    <t>Mathematics</t>
  </si>
  <si>
    <t>Science</t>
  </si>
  <si>
    <t>English</t>
  </si>
  <si>
    <t>Social Studies</t>
  </si>
  <si>
    <t>Malayalam</t>
  </si>
  <si>
    <t>Total</t>
  </si>
  <si>
    <t>Percentage (%)</t>
  </si>
  <si>
    <t>Grade</t>
  </si>
  <si>
    <t>Result</t>
  </si>
  <si>
    <t>Class Average</t>
  </si>
  <si>
    <t>Working Days: 22  |  Minimum Required Attendance: 75%</t>
  </si>
  <si>
    <t>Total Working Days</t>
  </si>
  <si>
    <t>Days Present</t>
  </si>
  <si>
    <t>Days Absent</t>
  </si>
  <si>
    <t>Attendance (%)</t>
  </si>
  <si>
    <t>Status</t>
  </si>
  <si>
    <t>Remarks</t>
  </si>
  <si>
    <t>Student Record Management System</t>
  </si>
  <si>
    <t>Student Marks &amp; Grade Report — Term 1</t>
  </si>
  <si>
    <t>Monthly Attendance Register — May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</si>
</sst>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\%"/>
    <numFmt numFmtId="165" formatCode="0.0"/>
  </numFmts>
  <fonts count="7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DE7F6"/>
      </patternFill>
    </fill>
    <fill>
      <patternFill patternType="solid">
        <fgColor rgb="FFEBF5FB"/>
        <bgColor rgb="FFE8F5E9"/>
      </patternFill>
    </fill>
    <fill>
      <patternFill patternType="solid">
        <fgColor rgb="FFFDFEFE"/>
        <bgColor rgb="FFFFFFFF"/>
      </patternFill>
    </fill>
    <fill>
      <patternFill patternType="solid">
        <fgColor rgb="FF1B5E20"/>
        <bgColor rgb="FF1F4E79"/>
      </patternFill>
    </fill>
    <fill>
      <patternFill patternType="solid">
        <fgColor rgb="FFE8F5E9"/>
        <bgColor rgb="FFEBF5FB"/>
      </patternFill>
    </fill>
    <fill>
      <patternFill patternType="solid">
        <fgColor rgb="FF6A0DAD"/>
        <bgColor rgb="FF800080"/>
      </patternFill>
    </fill>
    <fill>
      <patternFill patternType="solid">
        <fgColor rgb="FFEDE7F6"/>
        <bgColor rgb="FFEBF5FB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9" borderId="0" xfId="0" applyFont="1" applyFill="1" applyBorder="1" applyAlignment="1">
      <alignment horizontal="center"/>
    </xf>
    <xf numFmtId="0" fontId="1" fillId="8" borderId="0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/>
    </xf>
    <xf numFmtId="0" fontId="2" fillId="7" borderId="0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165" fontId="6" fillId="6" borderId="1" xfId="0" applyNumberFormat="1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4" fontId="5" fillId="5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6A0DAD"/>
      <rgbColor rgb="FF008080"/>
      <rgbColor rgb="FFBFBFBF"/>
      <rgbColor rgb="FF808080"/>
      <rgbColor rgb="FF9999FF"/>
      <rgbColor rgb="FF993366"/>
      <rgbColor rgb="FFFDFEFE"/>
      <rgbColor rgb="FFE8F5E9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EDE7F6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zoomScaleNormal="100" workbookViewId="0">
      <selection sqref="A1:J1"/>
    </sheetView>
  </sheetViews>
  <sheetFormatPr defaultColWidth="8.7109375" defaultRowHeight="15" x14ac:dyDescent="0.25"/>
  <cols>
    <col min="1" max="1" width="12" customWidth="1"/>
    <col min="2" max="2" width="22" customWidth="1"/>
    <col min="3" max="3" width="8" customWidth="1"/>
    <col min="4" max="4" width="9" customWidth="1"/>
    <col min="5" max="5" width="14" customWidth="1"/>
    <col min="6" max="6" width="16" customWidth="1"/>
    <col min="7" max="7" width="20" customWidth="1"/>
    <col min="8" max="8" width="16" customWidth="1"/>
    <col min="9" max="9" width="26" customWidth="1"/>
    <col min="10" max="10" width="32" customWidth="1"/>
  </cols>
  <sheetData>
    <row r="1" spans="1:10" ht="31.5" customHeight="1" x14ac:dyDescent="0.25">
      <c r="A1" s="7" t="s">
        <v>114</v>
      </c>
      <c r="B1" s="7"/>
      <c r="C1" s="7"/>
      <c r="D1" s="7"/>
      <c r="E1" s="7"/>
      <c r="F1" s="7"/>
      <c r="G1" s="7"/>
      <c r="H1" s="7"/>
      <c r="I1" s="7"/>
      <c r="J1" s="7"/>
    </row>
    <row r="2" spans="1:10" ht="18" customHeight="1" x14ac:dyDescent="0.25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27.75" customHeight="1" x14ac:dyDescent="0.25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</row>
    <row r="4" spans="1:10" ht="19.5" customHeight="1" x14ac:dyDescent="0.25">
      <c r="A4" s="9" t="s">
        <v>11</v>
      </c>
      <c r="B4" s="10" t="s">
        <v>12</v>
      </c>
      <c r="C4" s="9" t="s">
        <v>13</v>
      </c>
      <c r="D4" s="9" t="s">
        <v>14</v>
      </c>
      <c r="E4" s="9" t="s">
        <v>15</v>
      </c>
      <c r="F4" s="10" t="s">
        <v>16</v>
      </c>
      <c r="G4" s="10" t="s">
        <v>17</v>
      </c>
      <c r="H4" s="10" t="s">
        <v>18</v>
      </c>
      <c r="I4" s="10" t="s">
        <v>19</v>
      </c>
      <c r="J4" s="10" t="s">
        <v>20</v>
      </c>
    </row>
    <row r="5" spans="1:10" ht="19.5" customHeight="1" x14ac:dyDescent="0.25">
      <c r="A5" s="11" t="s">
        <v>21</v>
      </c>
      <c r="B5" s="12" t="s">
        <v>22</v>
      </c>
      <c r="C5" s="11" t="s">
        <v>13</v>
      </c>
      <c r="D5" s="11" t="s">
        <v>23</v>
      </c>
      <c r="E5" s="11" t="s">
        <v>24</v>
      </c>
      <c r="F5" s="12" t="s">
        <v>25</v>
      </c>
      <c r="G5" s="12" t="s">
        <v>26</v>
      </c>
      <c r="H5" s="12" t="s">
        <v>27</v>
      </c>
      <c r="I5" s="12" t="s">
        <v>28</v>
      </c>
      <c r="J5" s="12" t="s">
        <v>29</v>
      </c>
    </row>
    <row r="6" spans="1:10" ht="19.5" customHeight="1" x14ac:dyDescent="0.25">
      <c r="A6" s="9" t="s">
        <v>30</v>
      </c>
      <c r="B6" s="10" t="s">
        <v>31</v>
      </c>
      <c r="C6" s="9" t="s">
        <v>32</v>
      </c>
      <c r="D6" s="9" t="s">
        <v>14</v>
      </c>
      <c r="E6" s="9" t="s">
        <v>33</v>
      </c>
      <c r="F6" s="10" t="s">
        <v>34</v>
      </c>
      <c r="G6" s="10" t="s">
        <v>35</v>
      </c>
      <c r="H6" s="10" t="s">
        <v>36</v>
      </c>
      <c r="I6" s="10" t="s">
        <v>37</v>
      </c>
      <c r="J6" s="10" t="s">
        <v>38</v>
      </c>
    </row>
    <row r="7" spans="1:10" ht="19.5" customHeight="1" x14ac:dyDescent="0.25">
      <c r="A7" s="11" t="s">
        <v>39</v>
      </c>
      <c r="B7" s="12" t="s">
        <v>40</v>
      </c>
      <c r="C7" s="11" t="s">
        <v>32</v>
      </c>
      <c r="D7" s="11" t="s">
        <v>23</v>
      </c>
      <c r="E7" s="11" t="s">
        <v>41</v>
      </c>
      <c r="F7" s="12" t="s">
        <v>42</v>
      </c>
      <c r="G7" s="12" t="s">
        <v>43</v>
      </c>
      <c r="H7" s="12" t="s">
        <v>44</v>
      </c>
      <c r="I7" s="12" t="s">
        <v>45</v>
      </c>
      <c r="J7" s="12" t="s">
        <v>46</v>
      </c>
    </row>
    <row r="8" spans="1:10" ht="19.5" customHeight="1" x14ac:dyDescent="0.25">
      <c r="A8" s="9" t="s">
        <v>47</v>
      </c>
      <c r="B8" s="10" t="s">
        <v>48</v>
      </c>
      <c r="C8" s="9" t="s">
        <v>13</v>
      </c>
      <c r="D8" s="9" t="s">
        <v>14</v>
      </c>
      <c r="E8" s="9" t="s">
        <v>49</v>
      </c>
      <c r="F8" s="10" t="s">
        <v>50</v>
      </c>
      <c r="G8" s="10" t="s">
        <v>51</v>
      </c>
      <c r="H8" s="10" t="s">
        <v>52</v>
      </c>
      <c r="I8" s="10" t="s">
        <v>53</v>
      </c>
      <c r="J8" s="10" t="s">
        <v>54</v>
      </c>
    </row>
    <row r="9" spans="1:10" ht="19.5" customHeight="1" x14ac:dyDescent="0.25">
      <c r="A9" s="11" t="s">
        <v>55</v>
      </c>
      <c r="B9" s="12" t="s">
        <v>56</v>
      </c>
      <c r="C9" s="11" t="s">
        <v>32</v>
      </c>
      <c r="D9" s="11" t="s">
        <v>14</v>
      </c>
      <c r="E9" s="11" t="s">
        <v>57</v>
      </c>
      <c r="F9" s="12" t="s">
        <v>58</v>
      </c>
      <c r="G9" s="12" t="s">
        <v>59</v>
      </c>
      <c r="H9" s="12" t="s">
        <v>60</v>
      </c>
      <c r="I9" s="12" t="s">
        <v>61</v>
      </c>
      <c r="J9" s="12" t="s">
        <v>62</v>
      </c>
    </row>
    <row r="10" spans="1:10" ht="19.5" customHeight="1" x14ac:dyDescent="0.25">
      <c r="A10" s="9" t="s">
        <v>63</v>
      </c>
      <c r="B10" s="10" t="s">
        <v>64</v>
      </c>
      <c r="C10" s="9" t="s">
        <v>13</v>
      </c>
      <c r="D10" s="9" t="s">
        <v>23</v>
      </c>
      <c r="E10" s="9" t="s">
        <v>65</v>
      </c>
      <c r="F10" s="10" t="s">
        <v>66</v>
      </c>
      <c r="G10" s="10" t="s">
        <v>67</v>
      </c>
      <c r="H10" s="10" t="s">
        <v>68</v>
      </c>
      <c r="I10" s="10" t="s">
        <v>69</v>
      </c>
      <c r="J10" s="10" t="s">
        <v>70</v>
      </c>
    </row>
    <row r="11" spans="1:10" ht="19.5" customHeight="1" x14ac:dyDescent="0.25">
      <c r="A11" s="11" t="s">
        <v>71</v>
      </c>
      <c r="B11" s="12" t="s">
        <v>72</v>
      </c>
      <c r="C11" s="11" t="s">
        <v>32</v>
      </c>
      <c r="D11" s="11" t="s">
        <v>23</v>
      </c>
      <c r="E11" s="11" t="s">
        <v>73</v>
      </c>
      <c r="F11" s="12" t="s">
        <v>74</v>
      </c>
      <c r="G11" s="12" t="s">
        <v>75</v>
      </c>
      <c r="H11" s="12" t="s">
        <v>76</v>
      </c>
      <c r="I11" s="12" t="s">
        <v>77</v>
      </c>
      <c r="J11" s="12" t="s">
        <v>78</v>
      </c>
    </row>
    <row r="12" spans="1:10" ht="19.5" customHeight="1" x14ac:dyDescent="0.25">
      <c r="A12" s="9" t="s">
        <v>79</v>
      </c>
      <c r="B12" s="10" t="s">
        <v>80</v>
      </c>
      <c r="C12" s="9" t="s">
        <v>13</v>
      </c>
      <c r="D12" s="9" t="s">
        <v>14</v>
      </c>
      <c r="E12" s="9" t="s">
        <v>81</v>
      </c>
      <c r="F12" s="10" t="s">
        <v>82</v>
      </c>
      <c r="G12" s="10" t="s">
        <v>83</v>
      </c>
      <c r="H12" s="10" t="s">
        <v>84</v>
      </c>
      <c r="I12" s="10" t="s">
        <v>85</v>
      </c>
      <c r="J12" s="10" t="s">
        <v>86</v>
      </c>
    </row>
    <row r="13" spans="1:10" ht="19.5" customHeight="1" x14ac:dyDescent="0.25">
      <c r="A13" s="11" t="s">
        <v>87</v>
      </c>
      <c r="B13" s="12" t="s">
        <v>88</v>
      </c>
      <c r="C13" s="11" t="s">
        <v>32</v>
      </c>
      <c r="D13" s="11" t="s">
        <v>14</v>
      </c>
      <c r="E13" s="11" t="s">
        <v>89</v>
      </c>
      <c r="F13" s="12" t="s">
        <v>90</v>
      </c>
      <c r="G13" s="12" t="s">
        <v>91</v>
      </c>
      <c r="H13" s="12" t="s">
        <v>92</v>
      </c>
      <c r="I13" s="12" t="s">
        <v>93</v>
      </c>
      <c r="J13" s="12" t="s">
        <v>94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zoomScaleNormal="100" workbookViewId="0">
      <selection sqref="A1:K1"/>
    </sheetView>
  </sheetViews>
  <sheetFormatPr defaultColWidth="8.7109375" defaultRowHeight="15" x14ac:dyDescent="0.25"/>
  <cols>
    <col min="1" max="1" width="12" customWidth="1"/>
    <col min="2" max="2" width="22" customWidth="1"/>
    <col min="3" max="3" width="14.140625" customWidth="1"/>
    <col min="4" max="5" width="10" customWidth="1"/>
    <col min="6" max="6" width="16" customWidth="1"/>
    <col min="7" max="7" width="12" customWidth="1"/>
    <col min="8" max="8" width="8" customWidth="1"/>
    <col min="9" max="9" width="18.28515625" customWidth="1"/>
    <col min="10" max="10" width="8" customWidth="1"/>
    <col min="11" max="11" width="10" customWidth="1"/>
  </cols>
  <sheetData>
    <row r="1" spans="1:11" ht="31.5" customHeight="1" x14ac:dyDescent="0.25">
      <c r="A1" s="5" t="s">
        <v>115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18" customHeight="1" x14ac:dyDescent="0.25">
      <c r="A2" s="4" t="s">
        <v>95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27.75" customHeight="1" x14ac:dyDescent="0.25">
      <c r="A3" s="13" t="s">
        <v>1</v>
      </c>
      <c r="B3" s="13" t="s">
        <v>96</v>
      </c>
      <c r="C3" s="13" t="s">
        <v>97</v>
      </c>
      <c r="D3" s="13" t="s">
        <v>98</v>
      </c>
      <c r="E3" s="13" t="s">
        <v>99</v>
      </c>
      <c r="F3" s="13" t="s">
        <v>100</v>
      </c>
      <c r="G3" s="13" t="s">
        <v>101</v>
      </c>
      <c r="H3" s="13" t="s">
        <v>102</v>
      </c>
      <c r="I3" s="13" t="s">
        <v>103</v>
      </c>
      <c r="J3" s="13" t="s">
        <v>104</v>
      </c>
      <c r="K3" s="13" t="s">
        <v>105</v>
      </c>
    </row>
    <row r="4" spans="1:11" ht="19.5" customHeight="1" x14ac:dyDescent="0.25">
      <c r="A4" s="9" t="s">
        <v>11</v>
      </c>
      <c r="B4" s="10" t="s">
        <v>12</v>
      </c>
      <c r="C4" s="9">
        <v>88</v>
      </c>
      <c r="D4" s="9">
        <v>92</v>
      </c>
      <c r="E4" s="9">
        <v>78</v>
      </c>
      <c r="F4" s="9">
        <v>85</v>
      </c>
      <c r="G4" s="9">
        <v>90</v>
      </c>
      <c r="H4" s="14">
        <f t="shared" ref="H4:H13" si="0">SUM(C4:G4)</f>
        <v>433</v>
      </c>
      <c r="I4" s="15">
        <f t="shared" ref="I4:I13" si="1">H4/500*100</f>
        <v>86.6</v>
      </c>
      <c r="J4" s="14" t="str">
        <f t="shared" ref="J4:J13" si="2">IF(I4&gt;=90,"A+",IF(I4&gt;=80,"A",IF(I4&gt;=70,"B+",IF(I4&gt;=60,"B",IF(I4&gt;=50,"C",IF(I4&gt;=35,"D","F"))))))</f>
        <v>A</v>
      </c>
      <c r="K4" s="14" t="str">
        <f t="shared" ref="K4:K13" si="3">IF(AND(C4&gt;=35,D4&gt;=35,E4&gt;=35,F4&gt;=35,G4&gt;=35),"PASS","FAIL")</f>
        <v>PASS</v>
      </c>
    </row>
    <row r="5" spans="1:11" ht="19.5" customHeight="1" x14ac:dyDescent="0.25">
      <c r="A5" s="11" t="s">
        <v>21</v>
      </c>
      <c r="B5" s="12" t="s">
        <v>22</v>
      </c>
      <c r="C5" s="11">
        <v>75</v>
      </c>
      <c r="D5" s="11">
        <v>80</v>
      </c>
      <c r="E5" s="11">
        <v>92</v>
      </c>
      <c r="F5" s="11">
        <v>88</v>
      </c>
      <c r="G5" s="11">
        <v>76</v>
      </c>
      <c r="H5" s="16">
        <f t="shared" si="0"/>
        <v>411</v>
      </c>
      <c r="I5" s="17">
        <f t="shared" si="1"/>
        <v>82.199999999999989</v>
      </c>
      <c r="J5" s="16" t="str">
        <f t="shared" si="2"/>
        <v>A</v>
      </c>
      <c r="K5" s="16" t="str">
        <f t="shared" si="3"/>
        <v>PASS</v>
      </c>
    </row>
    <row r="6" spans="1:11" ht="19.5" customHeight="1" x14ac:dyDescent="0.25">
      <c r="A6" s="9" t="s">
        <v>30</v>
      </c>
      <c r="B6" s="10" t="s">
        <v>31</v>
      </c>
      <c r="C6" s="9">
        <v>65</v>
      </c>
      <c r="D6" s="9">
        <v>70</v>
      </c>
      <c r="E6" s="9">
        <v>68</v>
      </c>
      <c r="F6" s="9">
        <v>72</v>
      </c>
      <c r="G6" s="9">
        <v>60</v>
      </c>
      <c r="H6" s="14">
        <f t="shared" si="0"/>
        <v>335</v>
      </c>
      <c r="I6" s="15">
        <f t="shared" si="1"/>
        <v>67</v>
      </c>
      <c r="J6" s="14" t="str">
        <f t="shared" si="2"/>
        <v>B</v>
      </c>
      <c r="K6" s="14" t="str">
        <f t="shared" si="3"/>
        <v>PASS</v>
      </c>
    </row>
    <row r="7" spans="1:11" ht="19.5" customHeight="1" x14ac:dyDescent="0.25">
      <c r="A7" s="11" t="s">
        <v>39</v>
      </c>
      <c r="B7" s="12" t="s">
        <v>40</v>
      </c>
      <c r="C7" s="11">
        <v>92</v>
      </c>
      <c r="D7" s="11">
        <v>95</v>
      </c>
      <c r="E7" s="11">
        <v>88</v>
      </c>
      <c r="F7" s="11">
        <v>90</v>
      </c>
      <c r="G7" s="11">
        <v>94</v>
      </c>
      <c r="H7" s="16">
        <f t="shared" si="0"/>
        <v>459</v>
      </c>
      <c r="I7" s="17">
        <f t="shared" si="1"/>
        <v>91.8</v>
      </c>
      <c r="J7" s="16" t="str">
        <f t="shared" si="2"/>
        <v>A+</v>
      </c>
      <c r="K7" s="16" t="str">
        <f t="shared" si="3"/>
        <v>PASS</v>
      </c>
    </row>
    <row r="8" spans="1:11" ht="19.5" customHeight="1" x14ac:dyDescent="0.25">
      <c r="A8" s="9" t="s">
        <v>47</v>
      </c>
      <c r="B8" s="10" t="s">
        <v>48</v>
      </c>
      <c r="C8" s="9">
        <v>55</v>
      </c>
      <c r="D8" s="9">
        <v>60</v>
      </c>
      <c r="E8" s="9">
        <v>58</v>
      </c>
      <c r="F8" s="9">
        <v>62</v>
      </c>
      <c r="G8" s="9">
        <v>50</v>
      </c>
      <c r="H8" s="14">
        <f t="shared" si="0"/>
        <v>285</v>
      </c>
      <c r="I8" s="15">
        <f t="shared" si="1"/>
        <v>56.999999999999993</v>
      </c>
      <c r="J8" s="14" t="str">
        <f t="shared" si="2"/>
        <v>C</v>
      </c>
      <c r="K8" s="14" t="str">
        <f t="shared" si="3"/>
        <v>PASS</v>
      </c>
    </row>
    <row r="9" spans="1:11" ht="19.5" customHeight="1" x14ac:dyDescent="0.25">
      <c r="A9" s="11" t="s">
        <v>55</v>
      </c>
      <c r="B9" s="12" t="s">
        <v>56</v>
      </c>
      <c r="C9" s="11">
        <v>82</v>
      </c>
      <c r="D9" s="11">
        <v>78</v>
      </c>
      <c r="E9" s="11">
        <v>85</v>
      </c>
      <c r="F9" s="11">
        <v>80</v>
      </c>
      <c r="G9" s="11">
        <v>88</v>
      </c>
      <c r="H9" s="16">
        <f t="shared" si="0"/>
        <v>413</v>
      </c>
      <c r="I9" s="17">
        <f t="shared" si="1"/>
        <v>82.6</v>
      </c>
      <c r="J9" s="16" t="str">
        <f t="shared" si="2"/>
        <v>A</v>
      </c>
      <c r="K9" s="16" t="str">
        <f t="shared" si="3"/>
        <v>PASS</v>
      </c>
    </row>
    <row r="10" spans="1:11" ht="19.5" customHeight="1" x14ac:dyDescent="0.25">
      <c r="A10" s="9" t="s">
        <v>63</v>
      </c>
      <c r="B10" s="10" t="s">
        <v>64</v>
      </c>
      <c r="C10" s="9">
        <v>45</v>
      </c>
      <c r="D10" s="9">
        <v>50</v>
      </c>
      <c r="E10" s="9">
        <v>48</v>
      </c>
      <c r="F10" s="9">
        <v>55</v>
      </c>
      <c r="G10" s="9">
        <v>42</v>
      </c>
      <c r="H10" s="14">
        <f t="shared" si="0"/>
        <v>240</v>
      </c>
      <c r="I10" s="15">
        <f t="shared" si="1"/>
        <v>48</v>
      </c>
      <c r="J10" s="14" t="str">
        <f t="shared" si="2"/>
        <v>D</v>
      </c>
      <c r="K10" s="14" t="str">
        <f t="shared" si="3"/>
        <v>PASS</v>
      </c>
    </row>
    <row r="11" spans="1:11" ht="19.5" customHeight="1" x14ac:dyDescent="0.25">
      <c r="A11" s="11" t="s">
        <v>71</v>
      </c>
      <c r="B11" s="12" t="s">
        <v>72</v>
      </c>
      <c r="C11" s="11">
        <v>70</v>
      </c>
      <c r="D11" s="11">
        <v>75</v>
      </c>
      <c r="E11" s="11">
        <v>72</v>
      </c>
      <c r="F11" s="11">
        <v>68</v>
      </c>
      <c r="G11" s="11">
        <v>78</v>
      </c>
      <c r="H11" s="16">
        <f t="shared" si="0"/>
        <v>363</v>
      </c>
      <c r="I11" s="17">
        <f t="shared" si="1"/>
        <v>72.599999999999994</v>
      </c>
      <c r="J11" s="16" t="str">
        <f t="shared" si="2"/>
        <v>B+</v>
      </c>
      <c r="K11" s="16" t="str">
        <f t="shared" si="3"/>
        <v>PASS</v>
      </c>
    </row>
    <row r="12" spans="1:11" ht="19.5" customHeight="1" x14ac:dyDescent="0.25">
      <c r="A12" s="9" t="s">
        <v>79</v>
      </c>
      <c r="B12" s="10" t="s">
        <v>80</v>
      </c>
      <c r="C12" s="9">
        <v>95</v>
      </c>
      <c r="D12" s="9">
        <v>98</v>
      </c>
      <c r="E12" s="9">
        <v>92</v>
      </c>
      <c r="F12" s="9">
        <v>96</v>
      </c>
      <c r="G12" s="9">
        <v>97</v>
      </c>
      <c r="H12" s="14">
        <f t="shared" si="0"/>
        <v>478</v>
      </c>
      <c r="I12" s="15">
        <f t="shared" si="1"/>
        <v>95.6</v>
      </c>
      <c r="J12" s="14" t="str">
        <f t="shared" si="2"/>
        <v>A+</v>
      </c>
      <c r="K12" s="14" t="str">
        <f t="shared" si="3"/>
        <v>PASS</v>
      </c>
    </row>
    <row r="13" spans="1:11" ht="19.5" customHeight="1" x14ac:dyDescent="0.25">
      <c r="A13" s="11" t="s">
        <v>87</v>
      </c>
      <c r="B13" s="12" t="s">
        <v>88</v>
      </c>
      <c r="C13" s="11">
        <v>38</v>
      </c>
      <c r="D13" s="11">
        <v>42</v>
      </c>
      <c r="E13" s="11">
        <v>40</v>
      </c>
      <c r="F13" s="11">
        <v>45</v>
      </c>
      <c r="G13" s="11">
        <v>36</v>
      </c>
      <c r="H13" s="16">
        <f t="shared" si="0"/>
        <v>201</v>
      </c>
      <c r="I13" s="17">
        <f t="shared" si="1"/>
        <v>40.200000000000003</v>
      </c>
      <c r="J13" s="16" t="str">
        <f t="shared" si="2"/>
        <v>D</v>
      </c>
      <c r="K13" s="16" t="str">
        <f t="shared" si="3"/>
        <v>PASS</v>
      </c>
    </row>
    <row r="14" spans="1:11" ht="21.75" customHeight="1" x14ac:dyDescent="0.25">
      <c r="A14" s="3" t="s">
        <v>106</v>
      </c>
      <c r="B14" s="3"/>
      <c r="C14" s="18">
        <f t="shared" ref="C14:I14" si="4">AVERAGE(C4:C13)</f>
        <v>70.5</v>
      </c>
      <c r="D14" s="18">
        <f t="shared" si="4"/>
        <v>74</v>
      </c>
      <c r="E14" s="18">
        <f t="shared" si="4"/>
        <v>72.099999999999994</v>
      </c>
      <c r="F14" s="18">
        <f t="shared" si="4"/>
        <v>74.099999999999994</v>
      </c>
      <c r="G14" s="18">
        <f t="shared" si="4"/>
        <v>71.099999999999994</v>
      </c>
      <c r="H14" s="18">
        <f t="shared" si="4"/>
        <v>361.8</v>
      </c>
      <c r="I14" s="18">
        <f t="shared" si="4"/>
        <v>72.36</v>
      </c>
    </row>
  </sheetData>
  <mergeCells count="3">
    <mergeCell ref="A1:K1"/>
    <mergeCell ref="A2:K2"/>
    <mergeCell ref="A14:B1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zoomScaleNormal="100" workbookViewId="0">
      <selection sqref="A1:H1"/>
    </sheetView>
  </sheetViews>
  <sheetFormatPr defaultColWidth="8.7109375" defaultRowHeight="15" x14ac:dyDescent="0.25"/>
  <cols>
    <col min="1" max="1" width="12" customWidth="1"/>
    <col min="2" max="2" width="22" customWidth="1"/>
    <col min="3" max="3" width="20" customWidth="1"/>
    <col min="4" max="4" width="14" customWidth="1"/>
    <col min="5" max="5" width="13" customWidth="1"/>
    <col min="6" max="6" width="17" customWidth="1"/>
    <col min="7" max="7" width="18" customWidth="1"/>
    <col min="8" max="8" width="20" customWidth="1"/>
  </cols>
  <sheetData>
    <row r="1" spans="1:8" ht="31.5" customHeight="1" x14ac:dyDescent="0.25">
      <c r="A1" s="2" t="s">
        <v>116</v>
      </c>
      <c r="B1" s="2"/>
      <c r="C1" s="2"/>
      <c r="D1" s="2"/>
      <c r="E1" s="2"/>
      <c r="F1" s="2"/>
      <c r="G1" s="2"/>
      <c r="H1" s="2"/>
    </row>
    <row r="2" spans="1:8" ht="18" customHeight="1" x14ac:dyDescent="0.25">
      <c r="A2" s="1" t="s">
        <v>107</v>
      </c>
      <c r="B2" s="1"/>
      <c r="C2" s="1"/>
      <c r="D2" s="1"/>
      <c r="E2" s="1"/>
      <c r="F2" s="1"/>
      <c r="G2" s="1"/>
      <c r="H2" s="1"/>
    </row>
    <row r="3" spans="1:8" ht="27.75" customHeight="1" x14ac:dyDescent="0.25">
      <c r="A3" s="19" t="s">
        <v>1</v>
      </c>
      <c r="B3" s="19" t="s">
        <v>96</v>
      </c>
      <c r="C3" s="19" t="s">
        <v>108</v>
      </c>
      <c r="D3" s="19" t="s">
        <v>109</v>
      </c>
      <c r="E3" s="19" t="s">
        <v>110</v>
      </c>
      <c r="F3" s="19" t="s">
        <v>111</v>
      </c>
      <c r="G3" s="19" t="s">
        <v>112</v>
      </c>
      <c r="H3" s="19" t="s">
        <v>113</v>
      </c>
    </row>
    <row r="4" spans="1:8" ht="19.5" customHeight="1" x14ac:dyDescent="0.25">
      <c r="A4" s="9" t="s">
        <v>11</v>
      </c>
      <c r="B4" s="9" t="s">
        <v>12</v>
      </c>
      <c r="C4" s="9">
        <v>22</v>
      </c>
      <c r="D4" s="9">
        <v>22</v>
      </c>
      <c r="E4" s="9">
        <v>0</v>
      </c>
      <c r="F4" s="20">
        <f t="shared" ref="F4:F13" si="0">D4/C4*100</f>
        <v>100</v>
      </c>
      <c r="G4" s="21" t="str">
        <f t="shared" ref="G4:G13" si="1">IF(F4&gt;=75,"Regular","Short Attendance")</f>
        <v>Regular</v>
      </c>
      <c r="H4" s="22" t="str">
        <f t="shared" ref="H4:H13" si="2">IF(F4&gt;=90,"Excellent",IF(F4&gt;=75,"Satisfactory","Need Improvement"))</f>
        <v>Excellent</v>
      </c>
    </row>
    <row r="5" spans="1:8" ht="19.5" customHeight="1" x14ac:dyDescent="0.25">
      <c r="A5" s="11" t="s">
        <v>21</v>
      </c>
      <c r="B5" s="11" t="s">
        <v>22</v>
      </c>
      <c r="C5" s="11">
        <v>22</v>
      </c>
      <c r="D5" s="11">
        <v>20</v>
      </c>
      <c r="E5" s="11">
        <v>2</v>
      </c>
      <c r="F5" s="23">
        <f t="shared" si="0"/>
        <v>90.909090909090907</v>
      </c>
      <c r="G5" s="24" t="str">
        <f t="shared" si="1"/>
        <v>Regular</v>
      </c>
      <c r="H5" s="25" t="str">
        <f t="shared" si="2"/>
        <v>Excellent</v>
      </c>
    </row>
    <row r="6" spans="1:8" ht="19.5" customHeight="1" x14ac:dyDescent="0.25">
      <c r="A6" s="9" t="s">
        <v>30</v>
      </c>
      <c r="B6" s="9" t="s">
        <v>31</v>
      </c>
      <c r="C6" s="9">
        <v>22</v>
      </c>
      <c r="D6" s="9">
        <v>18</v>
      </c>
      <c r="E6" s="9">
        <v>4</v>
      </c>
      <c r="F6" s="20">
        <f t="shared" si="0"/>
        <v>81.818181818181827</v>
      </c>
      <c r="G6" s="21" t="str">
        <f t="shared" si="1"/>
        <v>Regular</v>
      </c>
      <c r="H6" s="22" t="str">
        <f t="shared" si="2"/>
        <v>Satisfactory</v>
      </c>
    </row>
    <row r="7" spans="1:8" ht="19.5" customHeight="1" x14ac:dyDescent="0.25">
      <c r="A7" s="11" t="s">
        <v>39</v>
      </c>
      <c r="B7" s="11" t="s">
        <v>40</v>
      </c>
      <c r="C7" s="11">
        <v>22</v>
      </c>
      <c r="D7" s="11">
        <v>22</v>
      </c>
      <c r="E7" s="11">
        <v>0</v>
      </c>
      <c r="F7" s="23">
        <f t="shared" si="0"/>
        <v>100</v>
      </c>
      <c r="G7" s="24" t="str">
        <f t="shared" si="1"/>
        <v>Regular</v>
      </c>
      <c r="H7" s="25" t="str">
        <f t="shared" si="2"/>
        <v>Excellent</v>
      </c>
    </row>
    <row r="8" spans="1:8" ht="19.5" customHeight="1" x14ac:dyDescent="0.25">
      <c r="A8" s="9" t="s">
        <v>47</v>
      </c>
      <c r="B8" s="9" t="s">
        <v>48</v>
      </c>
      <c r="C8" s="9">
        <v>22</v>
      </c>
      <c r="D8" s="9">
        <v>15</v>
      </c>
      <c r="E8" s="9">
        <v>7</v>
      </c>
      <c r="F8" s="20">
        <f t="shared" si="0"/>
        <v>68.181818181818173</v>
      </c>
      <c r="G8" s="21" t="str">
        <f t="shared" si="1"/>
        <v>Short Attendance</v>
      </c>
      <c r="H8" s="22" t="str">
        <f t="shared" si="2"/>
        <v>Need Improvement</v>
      </c>
    </row>
    <row r="9" spans="1:8" ht="19.5" customHeight="1" x14ac:dyDescent="0.25">
      <c r="A9" s="11" t="s">
        <v>55</v>
      </c>
      <c r="B9" s="11" t="s">
        <v>56</v>
      </c>
      <c r="C9" s="11">
        <v>22</v>
      </c>
      <c r="D9" s="11">
        <v>21</v>
      </c>
      <c r="E9" s="11">
        <v>1</v>
      </c>
      <c r="F9" s="23">
        <f t="shared" si="0"/>
        <v>95.454545454545453</v>
      </c>
      <c r="G9" s="24" t="str">
        <f t="shared" si="1"/>
        <v>Regular</v>
      </c>
      <c r="H9" s="25" t="str">
        <f t="shared" si="2"/>
        <v>Excellent</v>
      </c>
    </row>
    <row r="10" spans="1:8" ht="19.5" customHeight="1" x14ac:dyDescent="0.25">
      <c r="A10" s="9" t="s">
        <v>63</v>
      </c>
      <c r="B10" s="9" t="s">
        <v>64</v>
      </c>
      <c r="C10" s="9">
        <v>22</v>
      </c>
      <c r="D10" s="9">
        <v>19</v>
      </c>
      <c r="E10" s="9">
        <v>3</v>
      </c>
      <c r="F10" s="20">
        <f t="shared" si="0"/>
        <v>86.36363636363636</v>
      </c>
      <c r="G10" s="21" t="str">
        <f t="shared" si="1"/>
        <v>Regular</v>
      </c>
      <c r="H10" s="22" t="str">
        <f t="shared" si="2"/>
        <v>Satisfactory</v>
      </c>
    </row>
    <row r="11" spans="1:8" ht="19.5" customHeight="1" x14ac:dyDescent="0.25">
      <c r="A11" s="11" t="s">
        <v>71</v>
      </c>
      <c r="B11" s="11" t="s">
        <v>72</v>
      </c>
      <c r="C11" s="11">
        <v>22</v>
      </c>
      <c r="D11" s="11">
        <v>22</v>
      </c>
      <c r="E11" s="11">
        <v>0</v>
      </c>
      <c r="F11" s="23">
        <f t="shared" si="0"/>
        <v>100</v>
      </c>
      <c r="G11" s="24" t="str">
        <f t="shared" si="1"/>
        <v>Regular</v>
      </c>
      <c r="H11" s="25" t="str">
        <f t="shared" si="2"/>
        <v>Excellent</v>
      </c>
    </row>
    <row r="12" spans="1:8" ht="19.5" customHeight="1" x14ac:dyDescent="0.25">
      <c r="A12" s="9" t="s">
        <v>79</v>
      </c>
      <c r="B12" s="9" t="s">
        <v>80</v>
      </c>
      <c r="C12" s="9">
        <v>22</v>
      </c>
      <c r="D12" s="9">
        <v>22</v>
      </c>
      <c r="E12" s="9">
        <v>0</v>
      </c>
      <c r="F12" s="20">
        <f t="shared" si="0"/>
        <v>100</v>
      </c>
      <c r="G12" s="21" t="str">
        <f t="shared" si="1"/>
        <v>Regular</v>
      </c>
      <c r="H12" s="22" t="str">
        <f t="shared" si="2"/>
        <v>Excellent</v>
      </c>
    </row>
    <row r="13" spans="1:8" ht="19.5" customHeight="1" x14ac:dyDescent="0.25">
      <c r="A13" s="11" t="s">
        <v>87</v>
      </c>
      <c r="B13" s="11" t="s">
        <v>88</v>
      </c>
      <c r="C13" s="11">
        <v>22</v>
      </c>
      <c r="D13" s="11">
        <v>12</v>
      </c>
      <c r="E13" s="11">
        <v>10</v>
      </c>
      <c r="F13" s="23">
        <f t="shared" si="0"/>
        <v>54.54545454545454</v>
      </c>
      <c r="G13" s="24" t="str">
        <f t="shared" si="1"/>
        <v>Short Attendance</v>
      </c>
      <c r="H13" s="25" t="str">
        <f t="shared" si="2"/>
        <v>Need Improvement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Directory</vt:lpstr>
      <vt:lpstr>Marks &amp; Grades</vt:lpstr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2026-05-26T13:38:56Z</dcterms:created>
  <dcterms:modified xsi:type="dcterms:W3CDTF">2026-05-26T13:54:22Z</dcterms:modified>
  <dc:language>en-US</dc:language>
</cp:coreProperties>
</file>